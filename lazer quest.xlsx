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sses\Desktop\"/>
    </mc:Choice>
  </mc:AlternateContent>
  <xr:revisionPtr revIDLastSave="0" documentId="13_ncr:1_{749DE59F-D68B-4999-ACA0-75C298807B5E}" xr6:coauthVersionLast="47" xr6:coauthVersionMax="47" xr10:uidLastSave="{00000000-0000-0000-0000-000000000000}"/>
  <bookViews>
    <workbookView xWindow="-96" yWindow="0" windowWidth="11712" windowHeight="12336" activeTab="2" xr2:uid="{B0410ABB-533E-4A69-9BB8-921E40256B20}"/>
  </bookViews>
  <sheets>
    <sheet name="Single slit" sheetId="1" r:id="rId1"/>
    <sheet name="Grating" sheetId="3" r:id="rId2"/>
    <sheet name="Fresnel 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2" i="4"/>
  <c r="H1" i="4"/>
  <c r="U39" i="3"/>
  <c r="M39" i="3"/>
  <c r="D2" i="4"/>
  <c r="D3" i="4"/>
  <c r="D4" i="4"/>
  <c r="D5" i="4"/>
  <c r="D6" i="4"/>
  <c r="D7" i="4"/>
  <c r="D8" i="4"/>
  <c r="D9" i="4"/>
  <c r="D10" i="4"/>
  <c r="D11" i="4"/>
  <c r="D12" i="4"/>
  <c r="D13" i="4"/>
  <c r="F29" i="3"/>
  <c r="F28" i="3"/>
  <c r="F27" i="3"/>
  <c r="F26" i="3"/>
  <c r="F25" i="3"/>
  <c r="D26" i="3"/>
  <c r="D27" i="3"/>
  <c r="D28" i="3"/>
  <c r="D29" i="3"/>
  <c r="D30" i="3"/>
  <c r="D25" i="3"/>
  <c r="R21" i="3"/>
  <c r="R18" i="3"/>
  <c r="R19" i="3"/>
  <c r="R20" i="3"/>
  <c r="R17" i="3"/>
  <c r="O18" i="3"/>
  <c r="O19" i="3"/>
  <c r="O21" i="3"/>
  <c r="O22" i="3"/>
  <c r="O17" i="3"/>
  <c r="L18" i="3"/>
  <c r="L19" i="3"/>
  <c r="L20" i="3"/>
  <c r="L21" i="3"/>
  <c r="L22" i="3"/>
  <c r="L17" i="3"/>
  <c r="I19" i="3"/>
  <c r="I21" i="3"/>
  <c r="I17" i="3"/>
  <c r="F21" i="3"/>
  <c r="F18" i="3"/>
  <c r="F19" i="3"/>
  <c r="F17" i="3"/>
  <c r="B18" i="3"/>
  <c r="B19" i="3"/>
  <c r="B20" i="3"/>
  <c r="B21" i="3"/>
  <c r="B22" i="3"/>
  <c r="B17" i="3"/>
  <c r="F58" i="1"/>
  <c r="F59" i="1"/>
  <c r="F60" i="1"/>
  <c r="F61" i="1"/>
  <c r="F57" i="1"/>
  <c r="F62" i="1"/>
  <c r="F63" i="1"/>
  <c r="F47" i="1"/>
  <c r="F48" i="1"/>
  <c r="F49" i="1"/>
  <c r="F50" i="1"/>
  <c r="F51" i="1"/>
  <c r="F52" i="1"/>
  <c r="F53" i="1"/>
  <c r="F54" i="1"/>
  <c r="F55" i="1"/>
  <c r="F56" i="1"/>
  <c r="F46" i="1"/>
  <c r="E46" i="1"/>
  <c r="E63" i="1" l="1"/>
  <c r="E62" i="1"/>
  <c r="E58" i="1"/>
  <c r="E59" i="1"/>
  <c r="E60" i="1"/>
  <c r="E61" i="1"/>
  <c r="E57" i="1"/>
  <c r="E47" i="1"/>
  <c r="E48" i="1"/>
  <c r="E49" i="1"/>
  <c r="E50" i="1"/>
  <c r="E51" i="1"/>
  <c r="E52" i="1"/>
  <c r="E53" i="1"/>
  <c r="E54" i="1"/>
  <c r="E55" i="1"/>
  <c r="E56" i="1"/>
  <c r="D47" i="1"/>
  <c r="D48" i="1"/>
  <c r="D49" i="1"/>
  <c r="D50" i="1"/>
  <c r="D51" i="1"/>
  <c r="D52" i="1"/>
  <c r="D53" i="1"/>
  <c r="D54" i="1"/>
  <c r="D55" i="1"/>
  <c r="D56" i="1"/>
  <c r="D46" i="1"/>
  <c r="F30" i="1"/>
  <c r="F29" i="1"/>
  <c r="F28" i="1"/>
  <c r="H34" i="1"/>
  <c r="H33" i="1"/>
  <c r="E34" i="1"/>
  <c r="E35" i="1"/>
  <c r="E36" i="1"/>
  <c r="E37" i="1"/>
  <c r="E38" i="1"/>
  <c r="E39" i="1"/>
  <c r="E40" i="1"/>
  <c r="E41" i="1"/>
  <c r="E42" i="1"/>
  <c r="E43" i="1"/>
  <c r="E33" i="1"/>
  <c r="B34" i="1"/>
  <c r="B35" i="1"/>
  <c r="B36" i="1"/>
  <c r="B37" i="1"/>
  <c r="B33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<sst xmlns="http://schemas.openxmlformats.org/spreadsheetml/2006/main" count="90" uniqueCount="37">
  <si>
    <t>n</t>
  </si>
  <si>
    <t>error</t>
  </si>
  <si>
    <t>Distance from aperture to screen:</t>
  </si>
  <si>
    <t>medium single slit /cm</t>
  </si>
  <si>
    <t>thick single slit /cm</t>
  </si>
  <si>
    <t>thin single slit /cm</t>
  </si>
  <si>
    <t>error /cm</t>
  </si>
  <si>
    <t xml:space="preserve">Thick single slit width </t>
  </si>
  <si>
    <t>Medium single slit width</t>
  </si>
  <si>
    <t xml:space="preserve">Thin single slit width </t>
  </si>
  <si>
    <t>y+ - y-</t>
  </si>
  <si>
    <t>5.12 +- 0.03 m</t>
  </si>
  <si>
    <t>0.000497 + 0.000002 m</t>
  </si>
  <si>
    <t>0.000198 +- 0.000002 m</t>
  </si>
  <si>
    <t>0.0001 +- 0.000002 m</t>
  </si>
  <si>
    <t>scaled y+ - y-</t>
  </si>
  <si>
    <t>Grating 2</t>
  </si>
  <si>
    <t>Grating 3</t>
  </si>
  <si>
    <t>y+ - y- /cm</t>
  </si>
  <si>
    <t>missing</t>
  </si>
  <si>
    <t>maxiumum /cm</t>
  </si>
  <si>
    <t>Grating 1 (5 thick slits)</t>
  </si>
  <si>
    <t>Grating 4</t>
  </si>
  <si>
    <t>Grating 5</t>
  </si>
  <si>
    <t>Grating 6 (5 thin slits)</t>
  </si>
  <si>
    <t>Grating no. (1 thickest, 6 thinnest)</t>
  </si>
  <si>
    <t xml:space="preserve">not measurable </t>
  </si>
  <si>
    <t>slit width /mm</t>
  </si>
  <si>
    <t>error/mm]</t>
  </si>
  <si>
    <t>1/slit width/ m^-1</t>
  </si>
  <si>
    <t>missing order separation /m</t>
  </si>
  <si>
    <t>Slit Separation /mm</t>
  </si>
  <si>
    <t>d</t>
  </si>
  <si>
    <t>1/(27.32-d)</t>
  </si>
  <si>
    <t>Wavelength from this method:</t>
  </si>
  <si>
    <t>nm</t>
  </si>
  <si>
    <t>%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</si>
</sst>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Medium</a:t>
            </a:r>
            <a:r>
              <a:rPr lang="en-GB" baseline="0"/>
              <a:t> slit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1537401574803149E-2"/>
                  <c:y val="0.466203339165937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'Single slit'!$A$33:$A$37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'Single slit'!$B$33:$B$37</c:f>
              <c:numCache>
                <c:formatCode>General</c:formatCode>
                <c:ptCount val="5"/>
                <c:pt idx="0">
                  <c:v>3.6999999999999993</c:v>
                </c:pt>
                <c:pt idx="1">
                  <c:v>7.1000000000000014</c:v>
                </c:pt>
                <c:pt idx="2">
                  <c:v>10.599999999999998</c:v>
                </c:pt>
                <c:pt idx="3">
                  <c:v>14.000000000000002</c:v>
                </c:pt>
                <c:pt idx="4">
                  <c:v>17.7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38-48F5-9E54-5539F3394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009791"/>
        <c:axId val="1024010271"/>
      </c:scatterChart>
      <c:valAx>
        <c:axId val="102400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010271"/>
        <c:crosses val="autoZero"/>
        <c:crossBetween val="midCat"/>
      </c:valAx>
      <c:valAx>
        <c:axId val="102401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009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Thick slit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0172790901137353E-2"/>
                  <c:y val="0.42087962962962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fixedVal"/>
            <c:noEndCap val="0"/>
            <c:val val="5.000000000000001E-2"/>
            <c:spPr>
              <a:noFill/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5.000000000000001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'Single slit'!$D$33:$D$44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'Single slit'!$E$33:$E$44</c:f>
              <c:numCache>
                <c:formatCode>General</c:formatCode>
                <c:ptCount val="12"/>
                <c:pt idx="0">
                  <c:v>1.5999999999999996</c:v>
                </c:pt>
                <c:pt idx="1">
                  <c:v>2.75</c:v>
                </c:pt>
                <c:pt idx="2">
                  <c:v>4.1499999999999986</c:v>
                </c:pt>
                <c:pt idx="3">
                  <c:v>5.5500000000000007</c:v>
                </c:pt>
                <c:pt idx="4">
                  <c:v>6.9</c:v>
                </c:pt>
                <c:pt idx="5">
                  <c:v>8.2999999999999989</c:v>
                </c:pt>
                <c:pt idx="6">
                  <c:v>9.6499999999999986</c:v>
                </c:pt>
                <c:pt idx="7">
                  <c:v>11.149999999999999</c:v>
                </c:pt>
                <c:pt idx="8">
                  <c:v>12.5</c:v>
                </c:pt>
                <c:pt idx="9">
                  <c:v>13.900000000000002</c:v>
                </c:pt>
                <c:pt idx="10">
                  <c:v>15.25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3A-4D65-886F-84253754F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956991"/>
        <c:axId val="1023958431"/>
      </c:scatterChart>
      <c:valAx>
        <c:axId val="102395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958431"/>
        <c:crosses val="autoZero"/>
        <c:crossBetween val="midCat"/>
      </c:valAx>
      <c:valAx>
        <c:axId val="102395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95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Thi</a:t>
            </a:r>
            <a:r>
              <a:rPr lang="en-GB" baseline="0"/>
              <a:t>n slit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2744969378827646E-3"/>
                  <c:y val="0.494882983377077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'Single slit'!$G$33:$H$33</c:f>
              <c:numCache>
                <c:formatCode>General</c:formatCode>
                <c:ptCount val="2"/>
                <c:pt idx="0">
                  <c:v>1</c:v>
                </c:pt>
                <c:pt idx="1">
                  <c:v>7</c:v>
                </c:pt>
              </c:numCache>
            </c:numRef>
          </c:xVal>
          <c:yVal>
            <c:numRef>
              <c:f>'Single slit'!$G$34:$H$34</c:f>
              <c:numCache>
                <c:formatCode>General</c:formatCode>
                <c:ptCount val="2"/>
                <c:pt idx="0">
                  <c:v>2</c:v>
                </c:pt>
                <c:pt idx="1">
                  <c:v>14.099999999999998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8F-49C6-96F0-9AC869F7E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974271"/>
        <c:axId val="1023974751"/>
      </c:scatterChart>
      <c:valAx>
        <c:axId val="102397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974751"/>
        <c:crosses val="autoZero"/>
        <c:crossBetween val="midCat"/>
      </c:valAx>
      <c:valAx>
        <c:axId val="102397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974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All</a:t>
            </a:r>
            <a:r>
              <a:rPr lang="en-GB" baseline="0"/>
              <a:t> scaled data put together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 cmpd="sng">
                <a:solidFill>
                  <a:schemeClr val="tx1"/>
                </a:solidFill>
                <a:prstDash val="dash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591415962616423E-2"/>
                  <c:y val="0.49539108968329437"/>
                </c:manualLayout>
              </c:layout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'Single slit'!$D$46:$D$63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1</c:v>
                </c:pt>
                <c:pt idx="17">
                  <c:v>2</c:v>
                </c:pt>
              </c:numCache>
            </c:numRef>
          </c:xVal>
          <c:yVal>
            <c:numRef>
              <c:f>'Single slit'!$E$46:$E$63</c:f>
              <c:numCache>
                <c:formatCode>General</c:formatCode>
                <c:ptCount val="18"/>
                <c:pt idx="0">
                  <c:v>7.9519999999999992E-4</c:v>
                </c:pt>
                <c:pt idx="1">
                  <c:v>1.3667500000000001E-3</c:v>
                </c:pt>
                <c:pt idx="2">
                  <c:v>2.0625499999999994E-3</c:v>
                </c:pt>
                <c:pt idx="3">
                  <c:v>2.7583500000000006E-3</c:v>
                </c:pt>
                <c:pt idx="4">
                  <c:v>3.4293000000000006E-3</c:v>
                </c:pt>
                <c:pt idx="5">
                  <c:v>4.1250999999999996E-3</c:v>
                </c:pt>
                <c:pt idx="6">
                  <c:v>4.7960499999999996E-3</c:v>
                </c:pt>
                <c:pt idx="7">
                  <c:v>5.5415500000000001E-3</c:v>
                </c:pt>
                <c:pt idx="8">
                  <c:v>6.212500000000001E-3</c:v>
                </c:pt>
                <c:pt idx="9">
                  <c:v>6.9083000000000018E-3</c:v>
                </c:pt>
                <c:pt idx="10">
                  <c:v>7.5792500000000009E-3</c:v>
                </c:pt>
                <c:pt idx="11">
                  <c:v>7.3259999999999981E-4</c:v>
                </c:pt>
                <c:pt idx="12">
                  <c:v>1.4058000000000002E-3</c:v>
                </c:pt>
                <c:pt idx="13">
                  <c:v>2.0987999999999996E-3</c:v>
                </c:pt>
                <c:pt idx="14">
                  <c:v>2.7720000000000002E-3</c:v>
                </c:pt>
                <c:pt idx="15">
                  <c:v>3.5045999999999996E-3</c:v>
                </c:pt>
                <c:pt idx="16">
                  <c:v>6.9999999999999999E-4</c:v>
                </c:pt>
                <c:pt idx="17">
                  <c:v>1.41E-3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2A-488B-9F45-A1DE9B85F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972351"/>
        <c:axId val="1023959391"/>
      </c:scatterChart>
      <c:valAx>
        <c:axId val="102397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959391"/>
        <c:crosses val="autoZero"/>
        <c:crossBetween val="midCat"/>
      </c:valAx>
      <c:valAx>
        <c:axId val="102395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972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Separation</a:t>
            </a:r>
            <a:r>
              <a:rPr lang="en-GB" baseline="0"/>
              <a:t> of nth maxima for a diffraction grating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17497812773403"/>
                  <c:y val="0.389353674540682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Grating!$A$17:$A$22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Grating!$B$17:$B$22</c:f>
              <c:numCache>
                <c:formatCode>General</c:formatCode>
                <c:ptCount val="6"/>
                <c:pt idx="0">
                  <c:v>3.4500000000000011</c:v>
                </c:pt>
                <c:pt idx="1">
                  <c:v>7.0000000000000018</c:v>
                </c:pt>
                <c:pt idx="2">
                  <c:v>10.599999999999998</c:v>
                </c:pt>
                <c:pt idx="3">
                  <c:v>14.2</c:v>
                </c:pt>
                <c:pt idx="4">
                  <c:v>17.599999999999998</c:v>
                </c:pt>
                <c:pt idx="5">
                  <c:v>21.3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3F-45CB-BA52-5A038323B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007871"/>
        <c:axId val="1024015071"/>
      </c:scatterChart>
      <c:valAx>
        <c:axId val="102400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015071"/>
        <c:crosses val="autoZero"/>
        <c:crossBetween val="midCat"/>
      </c:valAx>
      <c:valAx>
        <c:axId val="102401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Separation</a:t>
                </a:r>
                <a:r>
                  <a:rPr lang="en-GB" baseline="0"/>
                  <a:t> of nth maxima /cm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007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Envelope</a:t>
            </a:r>
            <a:r>
              <a:rPr lang="en-GB" baseline="0"/>
              <a:t> minima for 5 slit gratings of varying slit width</a:t>
            </a:r>
            <a:endParaRPr lang="en-GB"/>
          </a:p>
        </c:rich>
      </c:tx>
      <c:layout>
        <c:manualLayout>
          <c:xMode val="edge"/>
          <c:yMode val="edge"/>
          <c:x val="0.13236008805573357"/>
          <c:y val="4.29795063335548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376926875912869"/>
                  <c:y val="0.30477245491194088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Grating!$D$25:$D$30</c:f>
              <c:numCache>
                <c:formatCode>General</c:formatCode>
                <c:ptCount val="6"/>
                <c:pt idx="0">
                  <c:v>5747.1264367816093</c:v>
                </c:pt>
                <c:pt idx="1">
                  <c:v>6666.666666666667</c:v>
                </c:pt>
                <c:pt idx="2">
                  <c:v>10000</c:v>
                </c:pt>
                <c:pt idx="3">
                  <c:v>13333.333333333334</c:v>
                </c:pt>
                <c:pt idx="4">
                  <c:v>20000</c:v>
                </c:pt>
                <c:pt idx="5">
                  <c:v>40000</c:v>
                </c:pt>
              </c:numCache>
            </c:numRef>
          </c:xVal>
          <c:yVal>
            <c:numRef>
              <c:f>Grating!$F$25:$F$29</c:f>
              <c:numCache>
                <c:formatCode>General</c:formatCode>
                <c:ptCount val="5"/>
                <c:pt idx="0">
                  <c:v>4.4999999999999998E-2</c:v>
                </c:pt>
                <c:pt idx="1">
                  <c:v>5.0000000000000017E-2</c:v>
                </c:pt>
                <c:pt idx="2">
                  <c:v>7.0000000000000007E-2</c:v>
                </c:pt>
                <c:pt idx="3">
                  <c:v>9.1000000000000011E-2</c:v>
                </c:pt>
                <c:pt idx="4">
                  <c:v>0.14099999999999999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68-45E4-94A5-6913A02FB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960351"/>
        <c:axId val="1023977151"/>
      </c:scatterChart>
      <c:valAx>
        <c:axId val="102396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Inverse</a:t>
                </a:r>
                <a:r>
                  <a:rPr lang="en-GB" baseline="0"/>
                  <a:t> slit width /m^-1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977151"/>
        <c:crosses val="autoZero"/>
        <c:crossBetween val="midCat"/>
      </c:valAx>
      <c:valAx>
        <c:axId val="102397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Separation</a:t>
                </a:r>
                <a:r>
                  <a:rPr lang="en-GB" baseline="0"/>
                  <a:t> of first two zeros of the envelope /m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96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Fresnel</a:t>
            </a:r>
            <a:r>
              <a:rPr lang="en-GB" baseline="0"/>
              <a:t> diffraction number of half-period zones within aperture dimensions as lens shifted by distance 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074333382988233"/>
                  <c:y val="0.197333005988171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'Fresnel '!$E$2:$E$13</c:f>
                <c:numCache>
                  <c:formatCode>General</c:formatCode>
                  <c:ptCount val="12"/>
                  <c:pt idx="0">
                    <c:v>2.3094688221709005</c:v>
                  </c:pt>
                  <c:pt idx="1">
                    <c:v>4.281345565749235</c:v>
                  </c:pt>
                  <c:pt idx="2">
                    <c:v>7.3952341824157761</c:v>
                  </c:pt>
                  <c:pt idx="3">
                    <c:v>10.328638497652584</c:v>
                  </c:pt>
                  <c:pt idx="4">
                    <c:v>13.513513513513514</c:v>
                  </c:pt>
                  <c:pt idx="5">
                    <c:v>19.685039370078737</c:v>
                  </c:pt>
                  <c:pt idx="6">
                    <c:v>24.147727272727277</c:v>
                  </c:pt>
                  <c:pt idx="7">
                    <c:v>31.14754098360655</c:v>
                  </c:pt>
                  <c:pt idx="8">
                    <c:v>36.971830985915496</c:v>
                  </c:pt>
                  <c:pt idx="9">
                    <c:v>44.061302681992345</c:v>
                  </c:pt>
                  <c:pt idx="10">
                    <c:v>50.916496945010181</c:v>
                  </c:pt>
                  <c:pt idx="11">
                    <c:v>59.734513274336287</c:v>
                  </c:pt>
                </c:numCache>
              </c:numRef>
            </c:plus>
            <c:minus>
              <c:numRef>
                <c:f>'Fresnel '!$E$2:$E$13</c:f>
                <c:numCache>
                  <c:formatCode>General</c:formatCode>
                  <c:ptCount val="12"/>
                  <c:pt idx="0">
                    <c:v>2.3094688221709005</c:v>
                  </c:pt>
                  <c:pt idx="1">
                    <c:v>4.281345565749235</c:v>
                  </c:pt>
                  <c:pt idx="2">
                    <c:v>7.3952341824157761</c:v>
                  </c:pt>
                  <c:pt idx="3">
                    <c:v>10.328638497652584</c:v>
                  </c:pt>
                  <c:pt idx="4">
                    <c:v>13.513513513513514</c:v>
                  </c:pt>
                  <c:pt idx="5">
                    <c:v>19.685039370078737</c:v>
                  </c:pt>
                  <c:pt idx="6">
                    <c:v>24.147727272727277</c:v>
                  </c:pt>
                  <c:pt idx="7">
                    <c:v>31.14754098360655</c:v>
                  </c:pt>
                  <c:pt idx="8">
                    <c:v>36.971830985915496</c:v>
                  </c:pt>
                  <c:pt idx="9">
                    <c:v>44.061302681992345</c:v>
                  </c:pt>
                  <c:pt idx="10">
                    <c:v>50.916496945010181</c:v>
                  </c:pt>
                  <c:pt idx="11">
                    <c:v>59.734513274336287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'Fresnel '!$C$2:$C$14</c:f>
              <c:numCache>
                <c:formatCode>General</c:formatCod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</c:numCache>
            </c:numRef>
          </c:xVal>
          <c:yVal>
            <c:numRef>
              <c:f>'Fresnel '!$D$2:$D$14</c:f>
              <c:numCache>
                <c:formatCode>General</c:formatCode>
                <c:ptCount val="13"/>
                <c:pt idx="0">
                  <c:v>46.189376443418013</c:v>
                </c:pt>
                <c:pt idx="1">
                  <c:v>61.162079510703357</c:v>
                </c:pt>
                <c:pt idx="2">
                  <c:v>82.169268693508627</c:v>
                </c:pt>
                <c:pt idx="3">
                  <c:v>93.896713615023486</c:v>
                </c:pt>
                <c:pt idx="4">
                  <c:v>112.61261261261262</c:v>
                </c:pt>
                <c:pt idx="5">
                  <c:v>131.23359580052491</c:v>
                </c:pt>
                <c:pt idx="6">
                  <c:v>142.04545454545456</c:v>
                </c:pt>
                <c:pt idx="7">
                  <c:v>163.93442622950815</c:v>
                </c:pt>
                <c:pt idx="8">
                  <c:v>176.05633802816902</c:v>
                </c:pt>
                <c:pt idx="9">
                  <c:v>191.57088122605367</c:v>
                </c:pt>
                <c:pt idx="10">
                  <c:v>203.66598778004072</c:v>
                </c:pt>
                <c:pt idx="11">
                  <c:v>221.23893805309734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6D-40AD-9910-4033C4291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974271"/>
        <c:axId val="1023980511"/>
      </c:scatterChart>
      <c:valAx>
        <c:axId val="102397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half-period fresnel zones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980511"/>
        <c:crosses val="autoZero"/>
        <c:crossBetween val="midCat"/>
      </c:valAx>
      <c:valAx>
        <c:axId val="102398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1/R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974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168853</xdr:colOff>
      <xdr:row>21</xdr:row>
      <xdr:rowOff>39831</xdr:rowOff>
    </xdr:from>
    <xdr:to>
      <xdr:col>15</xdr:col>
      <xdr:colOff>497899</xdr:colOff>
      <xdr:row>36</xdr:row>
      <xdr:rowOff>55417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E37480-6C91-C48C-B89F-B1D9F6667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160193</xdr:colOff>
      <xdr:row>37</xdr:row>
      <xdr:rowOff>5196</xdr:rowOff>
    </xdr:from>
    <xdr:to>
      <xdr:col>15</xdr:col>
      <xdr:colOff>489239</xdr:colOff>
      <xdr:row>52</xdr:row>
      <xdr:rowOff>20783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9C76D1D-EEF1-98D9-0844-8FC16B397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160193</xdr:colOff>
      <xdr:row>5</xdr:row>
      <xdr:rowOff>161058</xdr:rowOff>
    </xdr:from>
    <xdr:to>
      <xdr:col>15</xdr:col>
      <xdr:colOff>489239</xdr:colOff>
      <xdr:row>20</xdr:row>
      <xdr:rowOff>176645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CE2EF51-4BFC-E0B2-AF83-4C17BC42F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146945</xdr:colOff>
      <xdr:row>52</xdr:row>
      <xdr:rowOff>135000</xdr:rowOff>
    </xdr:from>
    <xdr:to>
      <xdr:col>15</xdr:col>
      <xdr:colOff>447028</xdr:colOff>
      <xdr:row>67</xdr:row>
      <xdr:rowOff>163575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02246F4-8F72-E6FB-C5B1-3012EC6A6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341086</xdr:colOff>
      <xdr:row>22</xdr:row>
      <xdr:rowOff>101599</xdr:rowOff>
    </xdr:from>
    <xdr:to>
      <xdr:col>23</xdr:col>
      <xdr:colOff>29028</xdr:colOff>
      <xdr:row>37</xdr:row>
      <xdr:rowOff>21772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272A94-62A4-C53A-B07D-1E58A34C7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247500</xdr:colOff>
      <xdr:row>22</xdr:row>
      <xdr:rowOff>102723</xdr:rowOff>
    </xdr:from>
    <xdr:to>
      <xdr:col>15</xdr:col>
      <xdr:colOff>311755</xdr:colOff>
      <xdr:row>37</xdr:row>
      <xdr:rowOff>32577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29C09C-BFA3-8ABB-7BED-CE268162C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6</xdr:row>
      <xdr:rowOff>125730</xdr:rowOff>
    </xdr:from>
    <xdr:to>
      <xdr:col>12</xdr:col>
      <xdr:colOff>533400</xdr:colOff>
      <xdr:row>21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9FBA36-4FBE-F5F3-121C-1BDF8A0C9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417F-B060-476B-9117-C19AB58277AE}">
  <dimension ref="A1:I63"/>
  <sheetViews>
    <sheetView topLeftCell="F51" zoomScale="112" zoomScaleNormal="111" workbookViewId="0">
      <selection activeCell="W5" sqref="W5"/>
    </sheetView>
  </sheetViews>
  <sheetFormatPr defaultRowHeight="14.4" x14ac:dyDescent="0.3"/>
  <cols>
    <col min="1" max="1" width="3.21875" customWidth="1"/>
    <col min="2" max="2" width="18.88671875" customWidth="1"/>
    <col min="4" max="4" width="4.5546875" customWidth="1"/>
    <col min="5" max="5" width="16.33203125" customWidth="1"/>
    <col min="6" max="6" width="11" bestFit="1" customWidth="1"/>
    <col min="7" max="7" width="3.5546875" customWidth="1"/>
    <col min="8" max="8" width="16.21875" customWidth="1"/>
  </cols>
  <sheetData>
    <row r="1" spans="1:9" x14ac:dyDescent="0.3">
      <c r="A1" t="s">
        <v>0</v>
      </c>
      <c r="B1" t="s">
        <v>3</v>
      </c>
      <c r="C1" t="s">
        <v>6</v>
      </c>
      <c r="D1" t="s">
        <v>0</v>
      </c>
      <c r="E1" t="s">
        <v>4</v>
      </c>
      <c r="F1" t="s">
        <v>6</v>
      </c>
      <c r="G1" t="s">
        <v>0</v>
      </c>
      <c r="H1" t="s">
        <v>5</v>
      </c>
      <c r="I1" t="s">
        <v>6</v>
      </c>
    </row>
    <row r="2" spans="1:9" x14ac:dyDescent="0.3">
      <c r="A2">
        <v>1</v>
      </c>
      <c r="B2">
        <v>16.399999999999999</v>
      </c>
      <c r="C2">
        <f xml:space="preserve"> 0.05</f>
        <v>0.05</v>
      </c>
      <c r="D2">
        <v>1</v>
      </c>
      <c r="E2">
        <v>16</v>
      </c>
      <c r="F2">
        <v>0.05</v>
      </c>
      <c r="G2">
        <v>1</v>
      </c>
      <c r="H2">
        <v>19.3</v>
      </c>
      <c r="I2">
        <v>0.05</v>
      </c>
    </row>
    <row r="3" spans="1:9" x14ac:dyDescent="0.3">
      <c r="A3">
        <v>2</v>
      </c>
      <c r="B3">
        <v>18.100000000000001</v>
      </c>
      <c r="C3">
        <f t="shared" ref="C3:C11" si="0" xml:space="preserve"> 0.05</f>
        <v>0.05</v>
      </c>
      <c r="D3">
        <v>2</v>
      </c>
      <c r="E3">
        <v>16.45</v>
      </c>
      <c r="F3">
        <v>0.05</v>
      </c>
      <c r="G3">
        <v>2</v>
      </c>
      <c r="H3">
        <v>22.9</v>
      </c>
      <c r="I3">
        <v>0.05</v>
      </c>
    </row>
    <row r="4" spans="1:9" x14ac:dyDescent="0.3">
      <c r="A4">
        <v>3</v>
      </c>
      <c r="B4">
        <v>19.899999999999999</v>
      </c>
      <c r="C4">
        <f t="shared" si="0"/>
        <v>0.05</v>
      </c>
      <c r="D4">
        <v>3</v>
      </c>
      <c r="E4">
        <v>17.149999999999999</v>
      </c>
      <c r="F4">
        <v>0.05</v>
      </c>
      <c r="G4">
        <v>-1</v>
      </c>
      <c r="H4">
        <v>12.3</v>
      </c>
      <c r="I4">
        <v>0.05</v>
      </c>
    </row>
    <row r="5" spans="1:9" x14ac:dyDescent="0.3">
      <c r="A5">
        <v>4</v>
      </c>
      <c r="B5">
        <v>21.6</v>
      </c>
      <c r="C5">
        <f t="shared" si="0"/>
        <v>0.05</v>
      </c>
      <c r="D5">
        <v>4</v>
      </c>
      <c r="E5">
        <v>17.850000000000001</v>
      </c>
      <c r="F5">
        <v>0.05</v>
      </c>
      <c r="G5">
        <v>-2</v>
      </c>
      <c r="H5">
        <v>8.8000000000000007</v>
      </c>
      <c r="I5">
        <v>0.05</v>
      </c>
    </row>
    <row r="6" spans="1:9" x14ac:dyDescent="0.3">
      <c r="A6">
        <v>5</v>
      </c>
      <c r="B6">
        <v>23.4</v>
      </c>
      <c r="C6">
        <f t="shared" si="0"/>
        <v>0.05</v>
      </c>
      <c r="D6">
        <v>5</v>
      </c>
      <c r="E6">
        <v>18.5</v>
      </c>
      <c r="F6">
        <v>0.05</v>
      </c>
    </row>
    <row r="7" spans="1:9" x14ac:dyDescent="0.3">
      <c r="A7">
        <v>-1</v>
      </c>
      <c r="B7">
        <v>12.7</v>
      </c>
      <c r="C7">
        <f t="shared" si="0"/>
        <v>0.05</v>
      </c>
      <c r="D7">
        <v>6</v>
      </c>
      <c r="E7">
        <v>19.2</v>
      </c>
      <c r="F7">
        <v>0.05</v>
      </c>
    </row>
    <row r="8" spans="1:9" x14ac:dyDescent="0.3">
      <c r="A8">
        <v>-2</v>
      </c>
      <c r="B8">
        <v>11</v>
      </c>
      <c r="C8">
        <f t="shared" si="0"/>
        <v>0.05</v>
      </c>
      <c r="D8">
        <v>7</v>
      </c>
      <c r="E8">
        <v>19.899999999999999</v>
      </c>
      <c r="F8">
        <v>0.05</v>
      </c>
    </row>
    <row r="9" spans="1:9" x14ac:dyDescent="0.3">
      <c r="A9">
        <v>-3</v>
      </c>
      <c r="B9">
        <v>9.3000000000000007</v>
      </c>
      <c r="C9">
        <f t="shared" si="0"/>
        <v>0.05</v>
      </c>
      <c r="D9">
        <v>8</v>
      </c>
      <c r="E9">
        <v>20.7</v>
      </c>
      <c r="F9">
        <v>0.05</v>
      </c>
    </row>
    <row r="10" spans="1:9" x14ac:dyDescent="0.3">
      <c r="A10">
        <v>-4</v>
      </c>
      <c r="B10">
        <v>7.6</v>
      </c>
      <c r="C10">
        <f t="shared" si="0"/>
        <v>0.05</v>
      </c>
      <c r="D10">
        <v>9</v>
      </c>
      <c r="E10">
        <v>21.3</v>
      </c>
      <c r="F10">
        <v>0.05</v>
      </c>
    </row>
    <row r="11" spans="1:9" x14ac:dyDescent="0.3">
      <c r="A11">
        <v>-5</v>
      </c>
      <c r="B11">
        <v>5.7</v>
      </c>
      <c r="C11">
        <f t="shared" si="0"/>
        <v>0.05</v>
      </c>
      <c r="D11">
        <v>10</v>
      </c>
      <c r="E11">
        <v>22.1</v>
      </c>
      <c r="F11">
        <v>0.05</v>
      </c>
    </row>
    <row r="12" spans="1:9" x14ac:dyDescent="0.3">
      <c r="D12">
        <v>11</v>
      </c>
      <c r="E12">
        <v>22.8</v>
      </c>
      <c r="F12">
        <v>0.05</v>
      </c>
    </row>
    <row r="14" spans="1:9" x14ac:dyDescent="0.3">
      <c r="D14">
        <v>-1</v>
      </c>
      <c r="E14">
        <v>14.4</v>
      </c>
      <c r="F14">
        <v>0.05</v>
      </c>
    </row>
    <row r="15" spans="1:9" x14ac:dyDescent="0.3">
      <c r="D15">
        <v>-2</v>
      </c>
      <c r="E15">
        <v>13.7</v>
      </c>
      <c r="F15">
        <v>0.05</v>
      </c>
    </row>
    <row r="16" spans="1:9" x14ac:dyDescent="0.3">
      <c r="D16">
        <v>-3</v>
      </c>
      <c r="E16">
        <v>13</v>
      </c>
      <c r="F16">
        <v>0.05</v>
      </c>
    </row>
    <row r="17" spans="1:8" x14ac:dyDescent="0.3">
      <c r="D17">
        <v>-4</v>
      </c>
      <c r="E17">
        <v>12.3</v>
      </c>
      <c r="F17">
        <v>0.05</v>
      </c>
    </row>
    <row r="18" spans="1:8" x14ac:dyDescent="0.3">
      <c r="D18">
        <v>-5</v>
      </c>
      <c r="E18">
        <v>11.6</v>
      </c>
      <c r="F18">
        <v>0.05</v>
      </c>
    </row>
    <row r="19" spans="1:8" x14ac:dyDescent="0.3">
      <c r="D19">
        <v>-6</v>
      </c>
      <c r="E19">
        <v>10.9</v>
      </c>
      <c r="F19">
        <v>0.05</v>
      </c>
    </row>
    <row r="20" spans="1:8" x14ac:dyDescent="0.3">
      <c r="D20">
        <v>-7</v>
      </c>
      <c r="E20">
        <v>10.25</v>
      </c>
      <c r="F20">
        <v>0.05</v>
      </c>
    </row>
    <row r="21" spans="1:8" x14ac:dyDescent="0.3">
      <c r="D21">
        <v>-8</v>
      </c>
      <c r="E21">
        <v>9.5500000000000007</v>
      </c>
      <c r="F21">
        <v>0.05</v>
      </c>
    </row>
    <row r="22" spans="1:8" x14ac:dyDescent="0.3">
      <c r="D22">
        <v>-9</v>
      </c>
      <c r="E22">
        <v>8.8000000000000007</v>
      </c>
      <c r="F22">
        <v>0.05</v>
      </c>
    </row>
    <row r="23" spans="1:8" x14ac:dyDescent="0.3">
      <c r="D23">
        <v>-10</v>
      </c>
      <c r="E23">
        <v>8.1999999999999993</v>
      </c>
      <c r="F23">
        <v>0.05</v>
      </c>
    </row>
    <row r="24" spans="1:8" x14ac:dyDescent="0.3">
      <c r="D24">
        <v>-11</v>
      </c>
      <c r="E24">
        <v>7.55</v>
      </c>
      <c r="F24">
        <v>0.05</v>
      </c>
    </row>
    <row r="27" spans="1:8" x14ac:dyDescent="0.3">
      <c r="A27" t="s">
        <v>2</v>
      </c>
      <c r="D27" t="s">
        <v>11</v>
      </c>
    </row>
    <row r="28" spans="1:8" x14ac:dyDescent="0.3">
      <c r="A28" t="s">
        <v>7</v>
      </c>
      <c r="D28" t="s">
        <v>12</v>
      </c>
      <c r="F28">
        <f>1.3805*10^-2</f>
        <v>1.3805000000000001E-2</v>
      </c>
    </row>
    <row r="29" spans="1:8" x14ac:dyDescent="0.3">
      <c r="A29" t="s">
        <v>8</v>
      </c>
      <c r="D29" t="s">
        <v>13</v>
      </c>
      <c r="F29">
        <f>3.49*0.01</f>
        <v>3.49E-2</v>
      </c>
    </row>
    <row r="30" spans="1:8" x14ac:dyDescent="0.3">
      <c r="A30" t="s">
        <v>9</v>
      </c>
      <c r="D30" t="s">
        <v>14</v>
      </c>
      <c r="F30">
        <f>1.3805*0.01</f>
        <v>1.3805000000000001E-2</v>
      </c>
    </row>
    <row r="32" spans="1:8" x14ac:dyDescent="0.3">
      <c r="A32" t="s">
        <v>0</v>
      </c>
      <c r="B32" t="s">
        <v>10</v>
      </c>
      <c r="D32" t="s">
        <v>0</v>
      </c>
      <c r="E32" t="s">
        <v>10</v>
      </c>
      <c r="G32" t="s">
        <v>0</v>
      </c>
      <c r="H32" t="s">
        <v>10</v>
      </c>
    </row>
    <row r="33" spans="1:8" x14ac:dyDescent="0.3">
      <c r="A33">
        <v>1</v>
      </c>
      <c r="B33">
        <f>B2-B7</f>
        <v>3.6999999999999993</v>
      </c>
      <c r="D33">
        <v>1</v>
      </c>
      <c r="E33">
        <f>E2-E14</f>
        <v>1.5999999999999996</v>
      </c>
      <c r="G33">
        <v>1</v>
      </c>
      <c r="H33">
        <f>H2-H4</f>
        <v>7</v>
      </c>
    </row>
    <row r="34" spans="1:8" x14ac:dyDescent="0.3">
      <c r="A34">
        <v>2</v>
      </c>
      <c r="B34">
        <f t="shared" ref="B34:B37" si="1">B3-B8</f>
        <v>7.1000000000000014</v>
      </c>
      <c r="D34">
        <v>2</v>
      </c>
      <c r="E34">
        <f t="shared" ref="E34:E44" si="2">E3-E15</f>
        <v>2.75</v>
      </c>
      <c r="G34">
        <v>2</v>
      </c>
      <c r="H34">
        <f>H3-H5</f>
        <v>14.099999999999998</v>
      </c>
    </row>
    <row r="35" spans="1:8" x14ac:dyDescent="0.3">
      <c r="A35">
        <v>3</v>
      </c>
      <c r="B35">
        <f t="shared" si="1"/>
        <v>10.599999999999998</v>
      </c>
      <c r="D35">
        <v>3</v>
      </c>
      <c r="E35">
        <f t="shared" si="2"/>
        <v>4.1499999999999986</v>
      </c>
    </row>
    <row r="36" spans="1:8" x14ac:dyDescent="0.3">
      <c r="A36">
        <v>4</v>
      </c>
      <c r="B36">
        <f t="shared" si="1"/>
        <v>14.000000000000002</v>
      </c>
      <c r="D36">
        <v>4</v>
      </c>
      <c r="E36">
        <f t="shared" si="2"/>
        <v>5.5500000000000007</v>
      </c>
    </row>
    <row r="37" spans="1:8" x14ac:dyDescent="0.3">
      <c r="A37">
        <v>5</v>
      </c>
      <c r="B37">
        <f t="shared" si="1"/>
        <v>17.7</v>
      </c>
      <c r="D37">
        <v>5</v>
      </c>
      <c r="E37">
        <f t="shared" si="2"/>
        <v>6.9</v>
      </c>
    </row>
    <row r="38" spans="1:8" x14ac:dyDescent="0.3">
      <c r="D38">
        <v>6</v>
      </c>
      <c r="E38">
        <f t="shared" si="2"/>
        <v>8.2999999999999989</v>
      </c>
    </row>
    <row r="39" spans="1:8" x14ac:dyDescent="0.3">
      <c r="D39">
        <v>7</v>
      </c>
      <c r="E39">
        <f t="shared" si="2"/>
        <v>9.6499999999999986</v>
      </c>
    </row>
    <row r="40" spans="1:8" x14ac:dyDescent="0.3">
      <c r="D40">
        <v>8</v>
      </c>
      <c r="E40">
        <f t="shared" si="2"/>
        <v>11.149999999999999</v>
      </c>
    </row>
    <row r="41" spans="1:8" x14ac:dyDescent="0.3">
      <c r="D41">
        <v>9</v>
      </c>
      <c r="E41">
        <f t="shared" si="2"/>
        <v>12.5</v>
      </c>
    </row>
    <row r="42" spans="1:8" x14ac:dyDescent="0.3">
      <c r="D42">
        <v>10</v>
      </c>
      <c r="E42">
        <f t="shared" si="2"/>
        <v>13.900000000000002</v>
      </c>
    </row>
    <row r="43" spans="1:8" x14ac:dyDescent="0.3">
      <c r="D43">
        <v>11</v>
      </c>
      <c r="E43">
        <f t="shared" si="2"/>
        <v>15.25</v>
      </c>
    </row>
    <row r="45" spans="1:8" x14ac:dyDescent="0.3">
      <c r="D45" t="s">
        <v>0</v>
      </c>
      <c r="E45" t="s">
        <v>15</v>
      </c>
    </row>
    <row r="46" spans="1:8" x14ac:dyDescent="0.3">
      <c r="D46">
        <f>D33</f>
        <v>1</v>
      </c>
      <c r="E46">
        <f>E33*0.000497</f>
        <v>7.9519999999999992E-4</v>
      </c>
      <c r="F46">
        <f>0.05*0.000497</f>
        <v>2.4850000000000004E-5</v>
      </c>
    </row>
    <row r="47" spans="1:8" x14ac:dyDescent="0.3">
      <c r="D47">
        <f t="shared" ref="D47:D56" si="3">D34</f>
        <v>2</v>
      </c>
      <c r="E47">
        <f t="shared" ref="E47:E56" si="4">E34*0.000497</f>
        <v>1.3667500000000001E-3</v>
      </c>
      <c r="F47">
        <f t="shared" ref="F47:F63" si="5">0.05*0.000497</f>
        <v>2.4850000000000004E-5</v>
      </c>
    </row>
    <row r="48" spans="1:8" x14ac:dyDescent="0.3">
      <c r="D48">
        <f t="shared" si="3"/>
        <v>3</v>
      </c>
      <c r="E48">
        <f t="shared" si="4"/>
        <v>2.0625499999999994E-3</v>
      </c>
      <c r="F48">
        <f t="shared" si="5"/>
        <v>2.4850000000000004E-5</v>
      </c>
    </row>
    <row r="49" spans="4:6" x14ac:dyDescent="0.3">
      <c r="D49">
        <f t="shared" si="3"/>
        <v>4</v>
      </c>
      <c r="E49">
        <f t="shared" si="4"/>
        <v>2.7583500000000006E-3</v>
      </c>
      <c r="F49">
        <f t="shared" si="5"/>
        <v>2.4850000000000004E-5</v>
      </c>
    </row>
    <row r="50" spans="4:6" x14ac:dyDescent="0.3">
      <c r="D50">
        <f t="shared" si="3"/>
        <v>5</v>
      </c>
      <c r="E50">
        <f t="shared" si="4"/>
        <v>3.4293000000000006E-3</v>
      </c>
      <c r="F50">
        <f t="shared" si="5"/>
        <v>2.4850000000000004E-5</v>
      </c>
    </row>
    <row r="51" spans="4:6" x14ac:dyDescent="0.3">
      <c r="D51">
        <f t="shared" si="3"/>
        <v>6</v>
      </c>
      <c r="E51">
        <f t="shared" si="4"/>
        <v>4.1250999999999996E-3</v>
      </c>
      <c r="F51">
        <f t="shared" si="5"/>
        <v>2.4850000000000004E-5</v>
      </c>
    </row>
    <row r="52" spans="4:6" x14ac:dyDescent="0.3">
      <c r="D52">
        <f t="shared" si="3"/>
        <v>7</v>
      </c>
      <c r="E52">
        <f t="shared" si="4"/>
        <v>4.7960499999999996E-3</v>
      </c>
      <c r="F52">
        <f t="shared" si="5"/>
        <v>2.4850000000000004E-5</v>
      </c>
    </row>
    <row r="53" spans="4:6" x14ac:dyDescent="0.3">
      <c r="D53">
        <f t="shared" si="3"/>
        <v>8</v>
      </c>
      <c r="E53">
        <f t="shared" si="4"/>
        <v>5.5415500000000001E-3</v>
      </c>
      <c r="F53">
        <f t="shared" si="5"/>
        <v>2.4850000000000004E-5</v>
      </c>
    </row>
    <row r="54" spans="4:6" x14ac:dyDescent="0.3">
      <c r="D54">
        <f t="shared" si="3"/>
        <v>9</v>
      </c>
      <c r="E54">
        <f t="shared" si="4"/>
        <v>6.212500000000001E-3</v>
      </c>
      <c r="F54">
        <f t="shared" si="5"/>
        <v>2.4850000000000004E-5</v>
      </c>
    </row>
    <row r="55" spans="4:6" x14ac:dyDescent="0.3">
      <c r="D55">
        <f t="shared" si="3"/>
        <v>10</v>
      </c>
      <c r="E55">
        <f t="shared" si="4"/>
        <v>6.9083000000000018E-3</v>
      </c>
      <c r="F55">
        <f t="shared" si="5"/>
        <v>2.4850000000000004E-5</v>
      </c>
    </row>
    <row r="56" spans="4:6" x14ac:dyDescent="0.3">
      <c r="D56">
        <f t="shared" si="3"/>
        <v>11</v>
      </c>
      <c r="E56">
        <f t="shared" si="4"/>
        <v>7.5792500000000009E-3</v>
      </c>
      <c r="F56">
        <f t="shared" si="5"/>
        <v>2.4850000000000004E-5</v>
      </c>
    </row>
    <row r="57" spans="4:6" x14ac:dyDescent="0.3">
      <c r="D57">
        <v>1</v>
      </c>
      <c r="E57">
        <f>B33*0.000198</f>
        <v>7.3259999999999981E-4</v>
      </c>
      <c r="F57">
        <f>0.05*0.000198</f>
        <v>9.9000000000000001E-6</v>
      </c>
    </row>
    <row r="58" spans="4:6" x14ac:dyDescent="0.3">
      <c r="D58">
        <v>2</v>
      </c>
      <c r="E58">
        <f t="shared" ref="E58:E61" si="6">B34*0.000198</f>
        <v>1.4058000000000002E-3</v>
      </c>
      <c r="F58">
        <f t="shared" ref="F58:F61" si="7">0.05*0.000198</f>
        <v>9.9000000000000001E-6</v>
      </c>
    </row>
    <row r="59" spans="4:6" x14ac:dyDescent="0.3">
      <c r="D59">
        <v>3</v>
      </c>
      <c r="E59">
        <f t="shared" si="6"/>
        <v>2.0987999999999996E-3</v>
      </c>
      <c r="F59">
        <f t="shared" si="7"/>
        <v>9.9000000000000001E-6</v>
      </c>
    </row>
    <row r="60" spans="4:6" x14ac:dyDescent="0.3">
      <c r="D60">
        <v>4</v>
      </c>
      <c r="E60">
        <f t="shared" si="6"/>
        <v>2.7720000000000002E-3</v>
      </c>
      <c r="F60">
        <f t="shared" si="7"/>
        <v>9.9000000000000001E-6</v>
      </c>
    </row>
    <row r="61" spans="4:6" x14ac:dyDescent="0.3">
      <c r="D61">
        <v>5</v>
      </c>
      <c r="E61">
        <f t="shared" si="6"/>
        <v>3.5045999999999996E-3</v>
      </c>
      <c r="F61">
        <f t="shared" si="7"/>
        <v>9.9000000000000001E-6</v>
      </c>
    </row>
    <row r="62" spans="4:6" x14ac:dyDescent="0.3">
      <c r="D62">
        <v>1</v>
      </c>
      <c r="E62">
        <f>7*0.0001</f>
        <v>6.9999999999999999E-4</v>
      </c>
      <c r="F62">
        <f>0.05*0.0001</f>
        <v>5.0000000000000004E-6</v>
      </c>
    </row>
    <row r="63" spans="4:6" x14ac:dyDescent="0.3">
      <c r="D63">
        <v>2</v>
      </c>
      <c r="E63">
        <f>14.1*0.0001</f>
        <v>1.41E-3</v>
      </c>
      <c r="F63">
        <f>0.05*0.0001</f>
        <v>5.0000000000000004E-6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58D8-E16F-47EA-A269-D8726F1A71C8}">
  <sheetPr>
    <pageSetUpPr fitToPage="1"/>
  </sheetPr>
  <dimension ref="A1:V39"/>
  <sheetViews>
    <sheetView topLeftCell="H12" zoomScale="89" workbookViewId="0">
      <selection activeCell="I22" sqref="I22"/>
    </sheetView>
  </sheetViews>
  <sheetFormatPr defaultRowHeight="14.4" x14ac:dyDescent="0.3"/>
  <cols>
    <col min="1" max="1" width="9.6640625" customWidth="1"/>
    <col min="10" max="10" width="12.44140625" bestFit="1" customWidth="1"/>
  </cols>
  <sheetData>
    <row r="1" spans="1:19" x14ac:dyDescent="0.3">
      <c r="A1" t="s">
        <v>21</v>
      </c>
      <c r="E1" t="s">
        <v>16</v>
      </c>
      <c r="H1" t="s">
        <v>17</v>
      </c>
      <c r="K1" t="s">
        <v>22</v>
      </c>
      <c r="N1" t="s">
        <v>23</v>
      </c>
      <c r="Q1" t="s">
        <v>24</v>
      </c>
    </row>
    <row r="2" spans="1:19" x14ac:dyDescent="0.3">
      <c r="A2" t="s">
        <v>0</v>
      </c>
      <c r="B2" t="s">
        <v>20</v>
      </c>
      <c r="E2" t="s">
        <v>0</v>
      </c>
      <c r="F2" t="s">
        <v>20</v>
      </c>
      <c r="H2" t="s">
        <v>0</v>
      </c>
      <c r="I2" t="s">
        <v>20</v>
      </c>
      <c r="K2" t="s">
        <v>0</v>
      </c>
      <c r="L2" t="s">
        <v>20</v>
      </c>
      <c r="N2" t="s">
        <v>0</v>
      </c>
      <c r="O2" t="s">
        <v>20</v>
      </c>
      <c r="Q2" t="s">
        <v>0</v>
      </c>
      <c r="R2" t="s">
        <v>20</v>
      </c>
    </row>
    <row r="3" spans="1:19" x14ac:dyDescent="0.3">
      <c r="A3">
        <v>1</v>
      </c>
      <c r="B3">
        <v>17.8</v>
      </c>
      <c r="E3">
        <v>1</v>
      </c>
      <c r="F3">
        <v>15.8</v>
      </c>
      <c r="H3">
        <v>1</v>
      </c>
      <c r="I3">
        <v>15.3</v>
      </c>
      <c r="K3">
        <v>1</v>
      </c>
      <c r="L3">
        <v>18.5</v>
      </c>
      <c r="N3">
        <v>1</v>
      </c>
      <c r="O3">
        <v>14.7</v>
      </c>
      <c r="Q3">
        <v>1</v>
      </c>
      <c r="R3">
        <v>14.8</v>
      </c>
    </row>
    <row r="4" spans="1:19" x14ac:dyDescent="0.3">
      <c r="A4">
        <v>2</v>
      </c>
      <c r="B4">
        <v>19.600000000000001</v>
      </c>
      <c r="E4">
        <v>2</v>
      </c>
      <c r="F4">
        <v>17.600000000000001</v>
      </c>
      <c r="H4">
        <v>2</v>
      </c>
      <c r="I4" t="s">
        <v>19</v>
      </c>
      <c r="K4">
        <v>2</v>
      </c>
      <c r="L4">
        <v>20.3</v>
      </c>
      <c r="N4">
        <v>2</v>
      </c>
      <c r="O4">
        <v>16.5</v>
      </c>
      <c r="Q4">
        <v>2</v>
      </c>
      <c r="R4">
        <v>16.600000000000001</v>
      </c>
    </row>
    <row r="5" spans="1:19" x14ac:dyDescent="0.3">
      <c r="A5">
        <v>3</v>
      </c>
      <c r="B5">
        <v>21.4</v>
      </c>
      <c r="E5">
        <v>3</v>
      </c>
      <c r="F5">
        <v>19.399999999999999</v>
      </c>
      <c r="H5">
        <v>3</v>
      </c>
      <c r="I5">
        <v>18.899999999999999</v>
      </c>
      <c r="K5">
        <v>3</v>
      </c>
      <c r="L5">
        <v>22.1</v>
      </c>
      <c r="N5">
        <v>3</v>
      </c>
      <c r="O5">
        <v>18.2</v>
      </c>
      <c r="Q5">
        <v>3</v>
      </c>
      <c r="R5">
        <v>18.3</v>
      </c>
    </row>
    <row r="6" spans="1:19" x14ac:dyDescent="0.3">
      <c r="A6">
        <v>4</v>
      </c>
      <c r="B6">
        <v>23.2</v>
      </c>
      <c r="E6">
        <v>4</v>
      </c>
      <c r="F6" t="s">
        <v>19</v>
      </c>
      <c r="H6">
        <v>4</v>
      </c>
      <c r="I6" t="s">
        <v>19</v>
      </c>
      <c r="K6">
        <v>4</v>
      </c>
      <c r="L6">
        <v>23.8</v>
      </c>
      <c r="N6">
        <v>4</v>
      </c>
      <c r="O6" t="s">
        <v>19</v>
      </c>
      <c r="Q6">
        <v>4</v>
      </c>
      <c r="R6">
        <v>20.100000000000001</v>
      </c>
    </row>
    <row r="7" spans="1:19" x14ac:dyDescent="0.3">
      <c r="A7">
        <v>5</v>
      </c>
      <c r="B7">
        <v>24.9</v>
      </c>
      <c r="E7">
        <v>5</v>
      </c>
      <c r="F7">
        <v>22.9</v>
      </c>
      <c r="H7">
        <v>5</v>
      </c>
      <c r="I7">
        <v>22.4</v>
      </c>
      <c r="K7">
        <v>5</v>
      </c>
      <c r="L7">
        <v>25.5</v>
      </c>
      <c r="N7">
        <v>5</v>
      </c>
      <c r="O7">
        <v>21.8</v>
      </c>
      <c r="Q7">
        <v>5</v>
      </c>
      <c r="R7">
        <v>21.9</v>
      </c>
    </row>
    <row r="8" spans="1:19" x14ac:dyDescent="0.3">
      <c r="A8">
        <v>6</v>
      </c>
      <c r="B8">
        <v>26.8</v>
      </c>
      <c r="E8">
        <v>-1</v>
      </c>
      <c r="F8">
        <v>12.3</v>
      </c>
      <c r="H8">
        <v>1</v>
      </c>
      <c r="I8">
        <v>11.8</v>
      </c>
      <c r="K8">
        <v>6</v>
      </c>
      <c r="L8">
        <v>27.1</v>
      </c>
      <c r="N8">
        <v>6</v>
      </c>
      <c r="O8">
        <v>23.6</v>
      </c>
      <c r="Q8">
        <v>-1</v>
      </c>
      <c r="R8">
        <v>11.3</v>
      </c>
    </row>
    <row r="9" spans="1:19" x14ac:dyDescent="0.3">
      <c r="A9">
        <v>-1</v>
      </c>
      <c r="B9">
        <v>14.35</v>
      </c>
      <c r="E9">
        <v>-2</v>
      </c>
      <c r="F9">
        <v>10.6</v>
      </c>
      <c r="H9">
        <v>2</v>
      </c>
      <c r="I9" t="s">
        <v>19</v>
      </c>
      <c r="K9">
        <v>-1</v>
      </c>
      <c r="L9">
        <v>15</v>
      </c>
      <c r="N9">
        <v>-1</v>
      </c>
      <c r="O9">
        <v>11.2</v>
      </c>
      <c r="Q9">
        <v>-2</v>
      </c>
      <c r="R9">
        <v>9.6</v>
      </c>
    </row>
    <row r="10" spans="1:19" x14ac:dyDescent="0.3">
      <c r="A10">
        <v>-2</v>
      </c>
      <c r="B10">
        <v>12.6</v>
      </c>
      <c r="E10">
        <v>-3</v>
      </c>
      <c r="F10">
        <v>8.8000000000000007</v>
      </c>
      <c r="H10">
        <v>3</v>
      </c>
      <c r="I10">
        <v>8.3000000000000007</v>
      </c>
      <c r="K10">
        <v>-2</v>
      </c>
      <c r="L10">
        <v>13.2</v>
      </c>
      <c r="N10">
        <v>-2</v>
      </c>
      <c r="O10">
        <v>9.5</v>
      </c>
      <c r="Q10">
        <v>-3</v>
      </c>
      <c r="R10">
        <v>7.8</v>
      </c>
    </row>
    <row r="11" spans="1:19" x14ac:dyDescent="0.3">
      <c r="A11">
        <v>-3</v>
      </c>
      <c r="B11">
        <v>10.8</v>
      </c>
      <c r="E11">
        <v>-4</v>
      </c>
      <c r="F11" t="s">
        <v>19</v>
      </c>
      <c r="H11">
        <v>4</v>
      </c>
      <c r="I11" t="s">
        <v>19</v>
      </c>
      <c r="K11">
        <v>-3</v>
      </c>
      <c r="L11">
        <v>11.5</v>
      </c>
      <c r="N11">
        <v>-3</v>
      </c>
      <c r="O11">
        <v>7.7</v>
      </c>
      <c r="Q11">
        <v>-4</v>
      </c>
      <c r="R11">
        <v>6.1</v>
      </c>
    </row>
    <row r="12" spans="1:19" x14ac:dyDescent="0.3">
      <c r="A12">
        <v>-4</v>
      </c>
      <c r="B12">
        <v>9</v>
      </c>
      <c r="E12">
        <v>-5</v>
      </c>
      <c r="F12">
        <v>5.3</v>
      </c>
      <c r="H12">
        <v>5</v>
      </c>
      <c r="I12">
        <v>4.8</v>
      </c>
      <c r="K12">
        <v>-4</v>
      </c>
      <c r="L12">
        <v>9.6999999999999993</v>
      </c>
      <c r="N12">
        <v>-4</v>
      </c>
      <c r="O12" t="s">
        <v>19</v>
      </c>
      <c r="Q12">
        <v>-5</v>
      </c>
      <c r="R12">
        <v>4.3</v>
      </c>
    </row>
    <row r="13" spans="1:19" x14ac:dyDescent="0.3">
      <c r="A13">
        <v>-5</v>
      </c>
      <c r="B13">
        <v>7.3</v>
      </c>
      <c r="K13">
        <v>-5</v>
      </c>
      <c r="L13">
        <v>8.1</v>
      </c>
      <c r="N13">
        <v>-5</v>
      </c>
      <c r="O13">
        <v>4.2</v>
      </c>
    </row>
    <row r="14" spans="1:19" x14ac:dyDescent="0.3">
      <c r="A14">
        <v>-6</v>
      </c>
      <c r="B14">
        <v>5.5</v>
      </c>
      <c r="K14">
        <v>-6</v>
      </c>
      <c r="L14">
        <v>6.3</v>
      </c>
      <c r="N14">
        <v>-6</v>
      </c>
      <c r="O14">
        <v>2.5</v>
      </c>
    </row>
    <row r="16" spans="1:19" x14ac:dyDescent="0.3">
      <c r="A16" t="s">
        <v>0</v>
      </c>
      <c r="B16" t="s">
        <v>18</v>
      </c>
      <c r="C16" t="s">
        <v>6</v>
      </c>
      <c r="E16" t="s">
        <v>0</v>
      </c>
      <c r="F16" t="s">
        <v>18</v>
      </c>
      <c r="G16" t="s">
        <v>6</v>
      </c>
      <c r="H16" t="s">
        <v>0</v>
      </c>
      <c r="I16" t="s">
        <v>18</v>
      </c>
      <c r="J16" t="s">
        <v>6</v>
      </c>
      <c r="K16" t="s">
        <v>0</v>
      </c>
      <c r="L16" t="s">
        <v>18</v>
      </c>
      <c r="M16" t="s">
        <v>6</v>
      </c>
      <c r="N16" t="s">
        <v>0</v>
      </c>
      <c r="O16" t="s">
        <v>18</v>
      </c>
      <c r="P16" t="s">
        <v>6</v>
      </c>
      <c r="Q16" t="s">
        <v>0</v>
      </c>
      <c r="R16" t="s">
        <v>18</v>
      </c>
      <c r="S16" t="s">
        <v>6</v>
      </c>
    </row>
    <row r="17" spans="1:19" x14ac:dyDescent="0.3">
      <c r="A17">
        <v>1</v>
      </c>
      <c r="B17">
        <f>B3-B9</f>
        <v>3.4500000000000011</v>
      </c>
      <c r="C17">
        <v>0.2</v>
      </c>
      <c r="E17">
        <v>1</v>
      </c>
      <c r="F17">
        <f>F3-F8</f>
        <v>3.5</v>
      </c>
      <c r="G17">
        <v>0.2</v>
      </c>
      <c r="H17">
        <v>1</v>
      </c>
      <c r="I17">
        <f>I3-I8</f>
        <v>3.5</v>
      </c>
      <c r="J17">
        <v>0.2</v>
      </c>
      <c r="K17">
        <v>1</v>
      </c>
      <c r="L17">
        <f>L3-L9</f>
        <v>3.5</v>
      </c>
      <c r="M17">
        <v>0.3</v>
      </c>
      <c r="N17">
        <v>1</v>
      </c>
      <c r="O17">
        <f>O3-O9</f>
        <v>3.5</v>
      </c>
      <c r="P17">
        <v>0.3</v>
      </c>
      <c r="Q17">
        <v>1</v>
      </c>
      <c r="R17">
        <f>R3-R8</f>
        <v>3.5</v>
      </c>
      <c r="S17">
        <v>0.3</v>
      </c>
    </row>
    <row r="18" spans="1:19" x14ac:dyDescent="0.3">
      <c r="A18">
        <v>2</v>
      </c>
      <c r="B18">
        <f t="shared" ref="B18:B22" si="0">B4-B10</f>
        <v>7.0000000000000018</v>
      </c>
      <c r="C18">
        <v>0.2</v>
      </c>
      <c r="E18">
        <v>2</v>
      </c>
      <c r="F18">
        <f>F4-F9</f>
        <v>7.0000000000000018</v>
      </c>
      <c r="G18">
        <v>0.2</v>
      </c>
      <c r="H18">
        <v>2</v>
      </c>
      <c r="I18" t="s">
        <v>19</v>
      </c>
      <c r="J18">
        <v>0.2</v>
      </c>
      <c r="K18">
        <v>2</v>
      </c>
      <c r="L18">
        <f t="shared" ref="L18:L22" si="1">L4-L10</f>
        <v>7.1000000000000014</v>
      </c>
      <c r="M18">
        <v>0.3</v>
      </c>
      <c r="N18">
        <v>2</v>
      </c>
      <c r="O18">
        <f t="shared" ref="O18:O22" si="2">O4-O10</f>
        <v>7</v>
      </c>
      <c r="P18">
        <v>0.3</v>
      </c>
      <c r="Q18">
        <v>2</v>
      </c>
      <c r="R18">
        <f t="shared" ref="R18:R20" si="3">R4-R9</f>
        <v>7.0000000000000018</v>
      </c>
      <c r="S18">
        <v>0.3</v>
      </c>
    </row>
    <row r="19" spans="1:19" x14ac:dyDescent="0.3">
      <c r="A19">
        <v>3</v>
      </c>
      <c r="B19">
        <f t="shared" si="0"/>
        <v>10.599999999999998</v>
      </c>
      <c r="C19">
        <v>0.2</v>
      </c>
      <c r="E19">
        <v>3</v>
      </c>
      <c r="F19">
        <f>F5-F10</f>
        <v>10.599999999999998</v>
      </c>
      <c r="G19">
        <v>0.2</v>
      </c>
      <c r="H19">
        <v>3</v>
      </c>
      <c r="I19">
        <f t="shared" ref="I18:I21" si="4">I5-I10</f>
        <v>10.599999999999998</v>
      </c>
      <c r="J19">
        <v>0.2</v>
      </c>
      <c r="K19">
        <v>3</v>
      </c>
      <c r="L19">
        <f t="shared" si="1"/>
        <v>10.600000000000001</v>
      </c>
      <c r="M19">
        <v>0.2</v>
      </c>
      <c r="N19">
        <v>3</v>
      </c>
      <c r="O19">
        <f t="shared" si="2"/>
        <v>10.5</v>
      </c>
      <c r="P19">
        <v>0.2</v>
      </c>
      <c r="Q19">
        <v>3</v>
      </c>
      <c r="R19">
        <f t="shared" si="3"/>
        <v>10.5</v>
      </c>
      <c r="S19">
        <v>0.2</v>
      </c>
    </row>
    <row r="20" spans="1:19" x14ac:dyDescent="0.3">
      <c r="A20">
        <v>4</v>
      </c>
      <c r="B20">
        <f t="shared" si="0"/>
        <v>14.2</v>
      </c>
      <c r="C20">
        <v>0.2</v>
      </c>
      <c r="E20">
        <v>4</v>
      </c>
      <c r="F20" t="s">
        <v>19</v>
      </c>
      <c r="G20">
        <v>0.2</v>
      </c>
      <c r="H20">
        <v>4</v>
      </c>
      <c r="I20" t="s">
        <v>19</v>
      </c>
      <c r="J20">
        <v>0.2</v>
      </c>
      <c r="K20">
        <v>4</v>
      </c>
      <c r="L20">
        <f t="shared" si="1"/>
        <v>14.100000000000001</v>
      </c>
      <c r="M20">
        <v>0.2</v>
      </c>
      <c r="N20">
        <v>4</v>
      </c>
      <c r="O20" t="s">
        <v>19</v>
      </c>
      <c r="P20">
        <v>0.2</v>
      </c>
      <c r="Q20">
        <v>4</v>
      </c>
      <c r="R20">
        <f t="shared" si="3"/>
        <v>14.000000000000002</v>
      </c>
      <c r="S20">
        <v>0.2</v>
      </c>
    </row>
    <row r="21" spans="1:19" x14ac:dyDescent="0.3">
      <c r="A21">
        <v>5</v>
      </c>
      <c r="B21">
        <f t="shared" si="0"/>
        <v>17.599999999999998</v>
      </c>
      <c r="C21">
        <v>0.2</v>
      </c>
      <c r="E21">
        <v>5</v>
      </c>
      <c r="F21">
        <f>F7-F12</f>
        <v>17.599999999999998</v>
      </c>
      <c r="G21">
        <v>0.2</v>
      </c>
      <c r="H21">
        <v>5</v>
      </c>
      <c r="I21">
        <f t="shared" si="4"/>
        <v>17.599999999999998</v>
      </c>
      <c r="J21">
        <v>0.2</v>
      </c>
      <c r="K21">
        <v>5</v>
      </c>
      <c r="L21">
        <f t="shared" si="1"/>
        <v>17.399999999999999</v>
      </c>
      <c r="M21">
        <v>0.2</v>
      </c>
      <c r="N21">
        <v>5</v>
      </c>
      <c r="O21">
        <f t="shared" si="2"/>
        <v>17.600000000000001</v>
      </c>
      <c r="P21">
        <v>0.2</v>
      </c>
      <c r="Q21">
        <v>5</v>
      </c>
      <c r="R21">
        <f>R7-R12</f>
        <v>17.599999999999998</v>
      </c>
      <c r="S21">
        <v>0.2</v>
      </c>
    </row>
    <row r="22" spans="1:19" x14ac:dyDescent="0.3">
      <c r="A22">
        <v>6</v>
      </c>
      <c r="B22">
        <f t="shared" si="0"/>
        <v>21.3</v>
      </c>
      <c r="C22">
        <v>0.2</v>
      </c>
      <c r="K22">
        <v>6</v>
      </c>
      <c r="L22">
        <f t="shared" si="1"/>
        <v>20.8</v>
      </c>
      <c r="M22">
        <v>0.2</v>
      </c>
      <c r="N22">
        <v>6</v>
      </c>
      <c r="O22">
        <f t="shared" si="2"/>
        <v>21.1</v>
      </c>
      <c r="P22">
        <v>0.2</v>
      </c>
    </row>
    <row r="24" spans="1:19" x14ac:dyDescent="0.3">
      <c r="A24" t="s">
        <v>25</v>
      </c>
      <c r="C24" t="s">
        <v>27</v>
      </c>
      <c r="D24" t="s">
        <v>29</v>
      </c>
      <c r="E24" t="s">
        <v>28</v>
      </c>
      <c r="F24" t="s">
        <v>30</v>
      </c>
      <c r="H24" t="s">
        <v>6</v>
      </c>
    </row>
    <row r="25" spans="1:19" x14ac:dyDescent="0.3">
      <c r="A25">
        <v>1</v>
      </c>
      <c r="C25">
        <v>0.17399999999999999</v>
      </c>
      <c r="D25">
        <f>1000/C25</f>
        <v>5747.1264367816093</v>
      </c>
      <c r="E25">
        <v>2E-3</v>
      </c>
      <c r="F25">
        <f>(18.25-13.75)*10^-2</f>
        <v>4.4999999999999998E-2</v>
      </c>
      <c r="H25">
        <v>0.5</v>
      </c>
    </row>
    <row r="26" spans="1:19" x14ac:dyDescent="0.3">
      <c r="A26">
        <v>2</v>
      </c>
      <c r="C26">
        <v>0.15</v>
      </c>
      <c r="D26">
        <f t="shared" ref="D26:D30" si="5">1000/C26</f>
        <v>6666.666666666667</v>
      </c>
      <c r="E26">
        <v>2E-3</v>
      </c>
      <c r="F26">
        <f>(16.6-11.6)*10^-2</f>
        <v>5.0000000000000017E-2</v>
      </c>
      <c r="H26">
        <v>0.5</v>
      </c>
    </row>
    <row r="27" spans="1:19" x14ac:dyDescent="0.3">
      <c r="A27">
        <v>3</v>
      </c>
      <c r="C27">
        <v>0.1</v>
      </c>
      <c r="D27">
        <f t="shared" si="5"/>
        <v>10000</v>
      </c>
      <c r="E27">
        <v>2E-3</v>
      </c>
      <c r="F27">
        <f>7/100</f>
        <v>7.0000000000000007E-2</v>
      </c>
      <c r="H27">
        <v>0.3</v>
      </c>
    </row>
    <row r="28" spans="1:19" x14ac:dyDescent="0.3">
      <c r="A28">
        <v>4</v>
      </c>
      <c r="C28">
        <v>7.4999999999999997E-2</v>
      </c>
      <c r="D28">
        <f t="shared" si="5"/>
        <v>13333.333333333334</v>
      </c>
      <c r="E28">
        <v>2E-3</v>
      </c>
      <c r="F28">
        <f>(21.3-12.2)/100</f>
        <v>9.1000000000000011E-2</v>
      </c>
      <c r="H28">
        <v>0.5</v>
      </c>
    </row>
    <row r="29" spans="1:19" x14ac:dyDescent="0.3">
      <c r="A29">
        <v>5</v>
      </c>
      <c r="C29">
        <v>0.05</v>
      </c>
      <c r="D29">
        <f t="shared" si="5"/>
        <v>20000</v>
      </c>
      <c r="E29">
        <v>2E-3</v>
      </c>
      <c r="F29">
        <f>14.1/100</f>
        <v>0.14099999999999999</v>
      </c>
      <c r="H29">
        <v>0.3</v>
      </c>
    </row>
    <row r="30" spans="1:19" x14ac:dyDescent="0.3">
      <c r="A30">
        <v>6</v>
      </c>
      <c r="C30">
        <v>2.5000000000000001E-2</v>
      </c>
      <c r="D30">
        <f t="shared" si="5"/>
        <v>40000</v>
      </c>
      <c r="E30">
        <v>2E-3</v>
      </c>
      <c r="F30" t="s">
        <v>26</v>
      </c>
    </row>
    <row r="32" spans="1:19" x14ac:dyDescent="0.3">
      <c r="A32" t="s">
        <v>31</v>
      </c>
    </row>
    <row r="39" spans="10:22" x14ac:dyDescent="0.3">
      <c r="J39" t="s">
        <v>34</v>
      </c>
      <c r="M39">
        <f>6720/(5.12*2)</f>
        <v>656.25</v>
      </c>
      <c r="N39" t="s">
        <v>35</v>
      </c>
      <c r="Q39" t="s">
        <v>34</v>
      </c>
      <c r="U39">
        <f>3.5614*0.196/(2*5.12)*10000</f>
        <v>681.67421875000014</v>
      </c>
      <c r="V39" t="s">
        <v>35</v>
      </c>
    </row>
  </sheetData>
  <pageMargins left="0.7" right="0.7" top="0.75" bottom="0.75" header="0.3" footer="0.3"/>
  <pageSetup paperSize="9" scale="6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C48E-1C42-4A69-B6DB-C5C161B08970}">
  <dimension ref="A1:H13"/>
  <sheetViews>
    <sheetView tabSelected="1" topLeftCell="D1" workbookViewId="0">
      <selection activeCell="R22" sqref="R22"/>
    </sheetView>
  </sheetViews>
  <sheetFormatPr defaultRowHeight="14.4" x14ac:dyDescent="0.3"/>
  <cols>
    <col min="8" max="8" width="12.33203125" bestFit="1" customWidth="1"/>
  </cols>
  <sheetData>
    <row r="1" spans="1:8" x14ac:dyDescent="0.3">
      <c r="A1" t="s">
        <v>32</v>
      </c>
      <c r="B1" t="s">
        <v>36</v>
      </c>
      <c r="C1" t="s">
        <v>0</v>
      </c>
      <c r="D1" t="s">
        <v>33</v>
      </c>
      <c r="E1" t="s">
        <v>1</v>
      </c>
      <c r="H1">
        <f>15.907*(0.199*10^(-3))^2</f>
        <v>6.2993310700000013E-7</v>
      </c>
    </row>
    <row r="2" spans="1:8" x14ac:dyDescent="0.3">
      <c r="A2">
        <v>5.67</v>
      </c>
      <c r="B2">
        <v>0.05</v>
      </c>
      <c r="C2">
        <v>3</v>
      </c>
      <c r="D2">
        <f>(1/(27.32-A2))*1000</f>
        <v>46.189376443418013</v>
      </c>
      <c r="E2">
        <f>B2*D2</f>
        <v>2.3094688221709005</v>
      </c>
    </row>
    <row r="3" spans="1:8" x14ac:dyDescent="0.3">
      <c r="A3">
        <v>10.97</v>
      </c>
      <c r="B3">
        <v>7.0000000000000007E-2</v>
      </c>
      <c r="C3">
        <v>4</v>
      </c>
      <c r="D3">
        <f t="shared" ref="D3:D13" si="0">1/(27.32-A3)*1000</f>
        <v>61.162079510703357</v>
      </c>
      <c r="E3">
        <f t="shared" ref="E3:E13" si="1">B3*D3</f>
        <v>4.281345565749235</v>
      </c>
    </row>
    <row r="4" spans="1:8" x14ac:dyDescent="0.3">
      <c r="A4">
        <v>15.15</v>
      </c>
      <c r="B4">
        <v>0.09</v>
      </c>
      <c r="C4">
        <v>5</v>
      </c>
      <c r="D4">
        <f t="shared" si="0"/>
        <v>82.169268693508627</v>
      </c>
      <c r="E4">
        <f t="shared" si="1"/>
        <v>7.3952341824157761</v>
      </c>
    </row>
    <row r="5" spans="1:8" x14ac:dyDescent="0.3">
      <c r="A5">
        <v>16.670000000000002</v>
      </c>
      <c r="B5">
        <v>0.11</v>
      </c>
      <c r="C5">
        <v>6</v>
      </c>
      <c r="D5">
        <f t="shared" si="0"/>
        <v>93.896713615023486</v>
      </c>
      <c r="E5">
        <f t="shared" si="1"/>
        <v>10.328638497652584</v>
      </c>
    </row>
    <row r="6" spans="1:8" x14ac:dyDescent="0.3">
      <c r="A6">
        <v>18.440000000000001</v>
      </c>
      <c r="B6">
        <v>0.12</v>
      </c>
      <c r="C6">
        <v>7</v>
      </c>
      <c r="D6">
        <f t="shared" si="0"/>
        <v>112.61261261261262</v>
      </c>
      <c r="E6">
        <f t="shared" si="1"/>
        <v>13.513513513513514</v>
      </c>
    </row>
    <row r="7" spans="1:8" x14ac:dyDescent="0.3">
      <c r="A7">
        <v>19.7</v>
      </c>
      <c r="B7">
        <v>0.15</v>
      </c>
      <c r="C7">
        <v>8</v>
      </c>
      <c r="D7">
        <f t="shared" si="0"/>
        <v>131.23359580052491</v>
      </c>
      <c r="E7">
        <f t="shared" si="1"/>
        <v>19.685039370078737</v>
      </c>
    </row>
    <row r="8" spans="1:8" x14ac:dyDescent="0.3">
      <c r="A8">
        <v>20.28</v>
      </c>
      <c r="B8">
        <v>0.17</v>
      </c>
      <c r="C8">
        <v>9</v>
      </c>
      <c r="D8">
        <f t="shared" si="0"/>
        <v>142.04545454545456</v>
      </c>
      <c r="E8">
        <f t="shared" si="1"/>
        <v>24.147727272727277</v>
      </c>
    </row>
    <row r="9" spans="1:8" x14ac:dyDescent="0.3">
      <c r="A9">
        <v>21.22</v>
      </c>
      <c r="B9">
        <v>0.19</v>
      </c>
      <c r="C9">
        <v>10</v>
      </c>
      <c r="D9">
        <f t="shared" si="0"/>
        <v>163.93442622950815</v>
      </c>
      <c r="E9">
        <f t="shared" si="1"/>
        <v>31.14754098360655</v>
      </c>
    </row>
    <row r="10" spans="1:8" x14ac:dyDescent="0.3">
      <c r="A10">
        <v>21.64</v>
      </c>
      <c r="B10">
        <v>0.21</v>
      </c>
      <c r="C10">
        <v>11</v>
      </c>
      <c r="D10">
        <f t="shared" si="0"/>
        <v>176.05633802816902</v>
      </c>
      <c r="E10">
        <f t="shared" si="1"/>
        <v>36.971830985915496</v>
      </c>
    </row>
    <row r="11" spans="1:8" x14ac:dyDescent="0.3">
      <c r="A11">
        <v>22.1</v>
      </c>
      <c r="B11">
        <v>0.23</v>
      </c>
      <c r="C11">
        <v>12</v>
      </c>
      <c r="D11">
        <f t="shared" si="0"/>
        <v>191.57088122605367</v>
      </c>
      <c r="E11">
        <f t="shared" si="1"/>
        <v>44.061302681992345</v>
      </c>
    </row>
    <row r="12" spans="1:8" x14ac:dyDescent="0.3">
      <c r="A12">
        <v>22.41</v>
      </c>
      <c r="B12">
        <v>0.25</v>
      </c>
      <c r="C12">
        <v>13</v>
      </c>
      <c r="D12">
        <f t="shared" si="0"/>
        <v>203.66598778004072</v>
      </c>
      <c r="E12">
        <f t="shared" si="1"/>
        <v>50.916496945010181</v>
      </c>
    </row>
    <row r="13" spans="1:8" x14ac:dyDescent="0.3">
      <c r="A13">
        <v>22.8</v>
      </c>
      <c r="B13">
        <v>0.27</v>
      </c>
      <c r="C13">
        <v>14</v>
      </c>
      <c r="D13">
        <f t="shared" si="0"/>
        <v>221.23893805309734</v>
      </c>
      <c r="E13">
        <f t="shared" si="1"/>
        <v>59.734513274336287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Single slit</vt:lpstr>
      <vt:lpstr>Grating</vt:lpstr>
      <vt:lpstr>Fresnel </vt:lpstr>
    </vt:vector>
  </TitlesOfParts>
  <Company>University of Cambridge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Classes</dc:creator>
  <cp:lastModifiedBy>Classes</cp:lastModifiedBy>
  <cp:lastPrinted>2026-02-26T17:24:41Z</cp:lastPrinted>
  <dcterms:created xsi:type="dcterms:W3CDTF">2026-02-26T12:23:21Z</dcterms:created>
  <dcterms:modified xsi:type="dcterms:W3CDTF">2026-02-26T17:26:51Z</dcterms:modified>
</cp:coreProperties>
</file>